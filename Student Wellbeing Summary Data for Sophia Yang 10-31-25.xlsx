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s20\Box\Project_OUEResearch\OUEResearch\Check-in Study\Analyses\Student Data Requests\"/>
    </mc:Choice>
  </mc:AlternateContent>
  <xr:revisionPtr revIDLastSave="0" documentId="13_ncr:1_{2C9BF08B-46F7-4F65-9515-D739B171288E}" xr6:coauthVersionLast="47" xr6:coauthVersionMax="47" xr10:uidLastSave="{00000000-0000-0000-0000-000000000000}"/>
  <bookViews>
    <workbookView xWindow="-120" yWindow="-120" windowWidth="29040" windowHeight="15720" xr2:uid="{765A0177-9FC5-4B91-8AB8-F275DF28ABC1}"/>
  </bookViews>
  <sheets>
    <sheet name="Summary Statistics by Ye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12" i="1" l="1"/>
  <c r="BU12" i="1"/>
  <c r="BU13" i="1"/>
  <c r="BT13" i="1"/>
  <c r="BS12" i="1"/>
  <c r="BS13" i="1"/>
  <c r="BR12" i="1"/>
  <c r="BR13" i="1"/>
  <c r="BQ12" i="1"/>
  <c r="BQ13" i="1"/>
  <c r="BP12" i="1"/>
  <c r="BP13" i="1"/>
  <c r="BO12" i="1"/>
  <c r="BO13" i="1"/>
  <c r="BN12" i="1"/>
  <c r="BN13" i="1"/>
  <c r="BM12" i="1"/>
  <c r="BM13" i="1"/>
  <c r="BL12" i="1"/>
  <c r="BL13" i="1"/>
  <c r="BK12" i="1"/>
  <c r="BK13" i="1"/>
  <c r="BJ12" i="1"/>
  <c r="BJ13" i="1"/>
  <c r="BT6" i="1"/>
  <c r="BR6" i="1"/>
  <c r="BP6" i="1"/>
  <c r="BN6" i="1"/>
  <c r="BL6" i="1"/>
</calcChain>
</file>

<file path=xl/sharedStrings.xml><?xml version="1.0" encoding="utf-8"?>
<sst xmlns="http://schemas.openxmlformats.org/spreadsheetml/2006/main" count="251" uniqueCount="132">
  <si>
    <t>First-Year Students</t>
  </si>
  <si>
    <t>Sophomores</t>
  </si>
  <si>
    <t>Juniors</t>
  </si>
  <si>
    <t>Seniors</t>
  </si>
  <si>
    <t>—</t>
  </si>
  <si>
    <t>Mean</t>
  </si>
  <si>
    <t>SD</t>
  </si>
  <si>
    <t>Feelings of Belonging to Duke Mean (adapted from Asher &amp; Weeks, 2014)</t>
  </si>
  <si>
    <t>Perceived Stress Scale Sum (PSS-4, Cohen, Kamarck, &amp; Mermelstein, 1983; Cohen &amp; Williamson, 1988)</t>
  </si>
  <si>
    <t>Symptoms of Depression and Anxiety (Patient Health Questionnaire-4; Kroenke, Spitzer, Williams, &amp; Löwe, 2009)</t>
  </si>
  <si>
    <t>Academic Engagement (Gusto for Academic Work) Mean (Asher &amp; Weeks, 2016)</t>
  </si>
  <si>
    <t>Loneliness in Context Mean (slightly adapted from Weeks &amp; Asher, 2012)</t>
  </si>
  <si>
    <t>Construct and Measure</t>
  </si>
  <si>
    <t>Number of Respondents</t>
  </si>
  <si>
    <t>p</t>
  </si>
  <si>
    <t>&lt;.001</t>
  </si>
  <si>
    <t>Contact Molly Weeks, Office of Institutional Research, with questions and for further information (molly.weeks@duke.edu)</t>
  </si>
  <si>
    <t>F2014 (SRWBP)</t>
  </si>
  <si>
    <t>F2020 (SMH)</t>
  </si>
  <si>
    <t>F2021 (DUCkI)</t>
  </si>
  <si>
    <t>F2022 (DUCkI)</t>
  </si>
  <si>
    <t>F2023 (DUCkI)</t>
  </si>
  <si>
    <t>F2024 (DUCkI)</t>
  </si>
  <si>
    <t>F2015 (SRWBP)</t>
  </si>
  <si>
    <t>F2016 (SRWBP)</t>
  </si>
  <si>
    <t>F2017 (SRWBP)</t>
  </si>
  <si>
    <t>F2014-2017 (SRWBP)</t>
  </si>
  <si>
    <t>Overall Average (Unweighted)</t>
  </si>
  <si>
    <t>F</t>
  </si>
  <si>
    <r>
      <t>1.8693</t>
    </r>
    <r>
      <rPr>
        <vertAlign val="superscript"/>
        <sz val="11"/>
        <color theme="1"/>
        <rFont val="Times New Roman"/>
        <family val="1"/>
      </rPr>
      <t>a</t>
    </r>
  </si>
  <si>
    <r>
      <t>4.8562</t>
    </r>
    <r>
      <rPr>
        <vertAlign val="superscript"/>
        <sz val="11"/>
        <color theme="1"/>
        <rFont val="Times New Roman"/>
        <family val="1"/>
      </rPr>
      <t>a</t>
    </r>
  </si>
  <si>
    <r>
      <t>3.303</t>
    </r>
    <r>
      <rPr>
        <vertAlign val="superscript"/>
        <sz val="11"/>
        <color theme="1"/>
        <rFont val="Times New Roman"/>
        <family val="1"/>
      </rPr>
      <t>b</t>
    </r>
  </si>
  <si>
    <t>3.3588b</t>
  </si>
  <si>
    <r>
      <t>3.1276</t>
    </r>
    <r>
      <rPr>
        <b/>
        <vertAlign val="superscript"/>
        <sz val="11"/>
        <color theme="1"/>
        <rFont val="Times New Roman"/>
        <family val="1"/>
      </rPr>
      <t>b</t>
    </r>
  </si>
  <si>
    <r>
      <t>2.793</t>
    </r>
    <r>
      <rPr>
        <vertAlign val="superscript"/>
        <sz val="11"/>
        <color theme="1"/>
        <rFont val="Times New Roman"/>
        <family val="1"/>
      </rPr>
      <t>b</t>
    </r>
  </si>
  <si>
    <r>
      <t>2.3593</t>
    </r>
    <r>
      <rPr>
        <vertAlign val="superscript"/>
        <sz val="11"/>
        <color theme="1"/>
        <rFont val="Times New Roman"/>
        <family val="1"/>
      </rPr>
      <t>c</t>
    </r>
  </si>
  <si>
    <r>
      <t>2.209</t>
    </r>
    <r>
      <rPr>
        <vertAlign val="superscript"/>
        <sz val="11"/>
        <color theme="1"/>
        <rFont val="Times New Roman"/>
        <family val="1"/>
      </rPr>
      <t>c</t>
    </r>
  </si>
  <si>
    <r>
      <t>2.1975</t>
    </r>
    <r>
      <rPr>
        <vertAlign val="superscript"/>
        <sz val="11"/>
        <color theme="1"/>
        <rFont val="Times New Roman"/>
        <family val="1"/>
      </rPr>
      <t>c</t>
    </r>
  </si>
  <si>
    <r>
      <t>7.8779</t>
    </r>
    <r>
      <rPr>
        <vertAlign val="superscript"/>
        <sz val="11"/>
        <color theme="1"/>
        <rFont val="Times New Roman"/>
        <family val="1"/>
      </rPr>
      <t>a</t>
    </r>
  </si>
  <si>
    <r>
      <t>7.915</t>
    </r>
    <r>
      <rPr>
        <vertAlign val="superscript"/>
        <sz val="11"/>
        <color theme="1"/>
        <rFont val="Times New Roman"/>
        <family val="1"/>
      </rPr>
      <t>a</t>
    </r>
  </si>
  <si>
    <r>
      <t>6.4419</t>
    </r>
    <r>
      <rPr>
        <vertAlign val="superscript"/>
        <sz val="11"/>
        <color theme="1"/>
        <rFont val="Times New Roman"/>
        <family val="1"/>
      </rPr>
      <t>b</t>
    </r>
  </si>
  <si>
    <r>
      <t>6.2447</t>
    </r>
    <r>
      <rPr>
        <vertAlign val="superscript"/>
        <sz val="11"/>
        <color theme="1"/>
        <rFont val="Times New Roman"/>
        <family val="1"/>
      </rPr>
      <t>b</t>
    </r>
  </si>
  <si>
    <r>
      <t>6.3099</t>
    </r>
    <r>
      <rPr>
        <vertAlign val="superscript"/>
        <sz val="11"/>
        <color theme="1"/>
        <rFont val="Times New Roman"/>
        <family val="1"/>
      </rPr>
      <t>b</t>
    </r>
  </si>
  <si>
    <r>
      <t>3.9627</t>
    </r>
    <r>
      <rPr>
        <vertAlign val="superscript"/>
        <sz val="11"/>
        <color theme="1"/>
        <rFont val="Times New Roman"/>
        <family val="1"/>
      </rPr>
      <t>a</t>
    </r>
  </si>
  <si>
    <r>
      <t>3.7549</t>
    </r>
    <r>
      <rPr>
        <vertAlign val="superscript"/>
        <sz val="11"/>
        <color theme="1"/>
        <rFont val="Times New Roman"/>
        <family val="1"/>
      </rPr>
      <t>b</t>
    </r>
  </si>
  <si>
    <r>
      <t>3.8409</t>
    </r>
    <r>
      <rPr>
        <vertAlign val="superscript"/>
        <sz val="11"/>
        <color theme="1"/>
        <rFont val="Times New Roman"/>
        <family val="1"/>
      </rPr>
      <t>ab</t>
    </r>
  </si>
  <si>
    <r>
      <t>3.9352</t>
    </r>
    <r>
      <rPr>
        <vertAlign val="superscript"/>
        <sz val="11"/>
        <color theme="1"/>
        <rFont val="Times New Roman"/>
        <family val="1"/>
      </rPr>
      <t>ab</t>
    </r>
  </si>
  <si>
    <r>
      <t>3.9403</t>
    </r>
    <r>
      <rPr>
        <vertAlign val="superscript"/>
        <sz val="11"/>
        <color theme="1"/>
        <rFont val="Times New Roman"/>
        <family val="1"/>
      </rPr>
      <t>ab</t>
    </r>
  </si>
  <si>
    <r>
      <t>4.2832</t>
    </r>
    <r>
      <rPr>
        <vertAlign val="superscript"/>
        <sz val="11"/>
        <color theme="1"/>
        <rFont val="Times New Roman"/>
        <family val="1"/>
      </rPr>
      <t>a</t>
    </r>
  </si>
  <si>
    <r>
      <t>4.2484</t>
    </r>
    <r>
      <rPr>
        <vertAlign val="superscript"/>
        <sz val="11"/>
        <color theme="1"/>
        <rFont val="Times New Roman"/>
        <family val="1"/>
      </rPr>
      <t>a</t>
    </r>
  </si>
  <si>
    <r>
      <t>4.1199</t>
    </r>
    <r>
      <rPr>
        <vertAlign val="superscript"/>
        <sz val="11"/>
        <color theme="1"/>
        <rFont val="Times New Roman"/>
        <family val="1"/>
      </rPr>
      <t>b</t>
    </r>
  </si>
  <si>
    <r>
      <t>4.1093</t>
    </r>
    <r>
      <rPr>
        <vertAlign val="superscript"/>
        <sz val="11"/>
        <color theme="1"/>
        <rFont val="Times New Roman"/>
        <family val="1"/>
      </rPr>
      <t>b</t>
    </r>
  </si>
  <si>
    <r>
      <t>4.1667</t>
    </r>
    <r>
      <rPr>
        <vertAlign val="superscript"/>
        <sz val="11"/>
        <color theme="1"/>
        <rFont val="Times New Roman"/>
        <family val="1"/>
      </rPr>
      <t>ab</t>
    </r>
  </si>
  <si>
    <r>
      <t>2.125</t>
    </r>
    <r>
      <rPr>
        <vertAlign val="superscript"/>
        <sz val="11"/>
        <color theme="1"/>
        <rFont val="Times New Roman"/>
        <family val="1"/>
      </rPr>
      <t>a</t>
    </r>
  </si>
  <si>
    <r>
      <t>2.1955</t>
    </r>
    <r>
      <rPr>
        <vertAlign val="superscript"/>
        <sz val="11"/>
        <color theme="1"/>
        <rFont val="Times New Roman"/>
        <family val="1"/>
      </rPr>
      <t>a</t>
    </r>
  </si>
  <si>
    <r>
      <t>2.2648</t>
    </r>
    <r>
      <rPr>
        <vertAlign val="superscript"/>
        <sz val="11"/>
        <color theme="1"/>
        <rFont val="Times New Roman"/>
        <family val="1"/>
      </rPr>
      <t>ab</t>
    </r>
  </si>
  <si>
    <r>
      <t>2.2847</t>
    </r>
    <r>
      <rPr>
        <vertAlign val="superscript"/>
        <sz val="11"/>
        <color theme="1"/>
        <rFont val="Times New Roman"/>
        <family val="1"/>
      </rPr>
      <t>ab</t>
    </r>
  </si>
  <si>
    <r>
      <t>2.3843</t>
    </r>
    <r>
      <rPr>
        <vertAlign val="superscript"/>
        <sz val="11"/>
        <color theme="1"/>
        <rFont val="Times New Roman"/>
        <family val="1"/>
      </rPr>
      <t>b</t>
    </r>
  </si>
  <si>
    <r>
      <t>2.9112</t>
    </r>
    <r>
      <rPr>
        <vertAlign val="superscript"/>
        <sz val="11"/>
        <color theme="1"/>
        <rFont val="Times New Roman"/>
        <family val="1"/>
      </rPr>
      <t>c</t>
    </r>
  </si>
  <si>
    <r>
      <t>6.8333</t>
    </r>
    <r>
      <rPr>
        <vertAlign val="superscript"/>
        <sz val="11"/>
        <color theme="1"/>
        <rFont val="Times New Roman"/>
        <family val="1"/>
      </rPr>
      <t>a</t>
    </r>
  </si>
  <si>
    <r>
      <t>7.1517</t>
    </r>
    <r>
      <rPr>
        <vertAlign val="superscript"/>
        <sz val="11"/>
        <color theme="1"/>
        <rFont val="Times New Roman"/>
        <family val="1"/>
      </rPr>
      <t>a</t>
    </r>
  </si>
  <si>
    <r>
      <t>7.2557</t>
    </r>
    <r>
      <rPr>
        <vertAlign val="superscript"/>
        <sz val="11"/>
        <color theme="1"/>
        <rFont val="Times New Roman"/>
        <family val="1"/>
      </rPr>
      <t>a</t>
    </r>
  </si>
  <si>
    <r>
      <t>7.5105</t>
    </r>
    <r>
      <rPr>
        <vertAlign val="superscript"/>
        <sz val="11"/>
        <color theme="1"/>
        <rFont val="Times New Roman"/>
        <family val="1"/>
      </rPr>
      <t>ab</t>
    </r>
  </si>
  <si>
    <r>
      <t>8.1414</t>
    </r>
    <r>
      <rPr>
        <vertAlign val="superscript"/>
        <sz val="11"/>
        <color theme="1"/>
        <rFont val="Times New Roman"/>
        <family val="1"/>
      </rPr>
      <t>ab</t>
    </r>
  </si>
  <si>
    <r>
      <t>8.9418</t>
    </r>
    <r>
      <rPr>
        <vertAlign val="superscript"/>
        <sz val="11"/>
        <color theme="1"/>
        <rFont val="Times New Roman"/>
        <family val="1"/>
      </rPr>
      <t>c</t>
    </r>
  </si>
  <si>
    <r>
      <t>3.4833</t>
    </r>
    <r>
      <rPr>
        <vertAlign val="superscript"/>
        <sz val="11"/>
        <color theme="1"/>
        <rFont val="Times New Roman"/>
        <family val="1"/>
      </rPr>
      <t>a</t>
    </r>
  </si>
  <si>
    <r>
      <t>3.7534</t>
    </r>
    <r>
      <rPr>
        <vertAlign val="superscript"/>
        <sz val="11"/>
        <color theme="1"/>
        <rFont val="Times New Roman"/>
        <family val="1"/>
      </rPr>
      <t>b</t>
    </r>
  </si>
  <si>
    <r>
      <t>3.7919</t>
    </r>
    <r>
      <rPr>
        <vertAlign val="superscript"/>
        <sz val="11"/>
        <color theme="1"/>
        <rFont val="Times New Roman"/>
        <family val="1"/>
      </rPr>
      <t>bc</t>
    </r>
  </si>
  <si>
    <r>
      <t>3.8758</t>
    </r>
    <r>
      <rPr>
        <vertAlign val="superscript"/>
        <sz val="11"/>
        <color theme="1"/>
        <rFont val="Times New Roman"/>
        <family val="1"/>
      </rPr>
      <t>bc</t>
    </r>
  </si>
  <si>
    <r>
      <t>3.9748</t>
    </r>
    <r>
      <rPr>
        <vertAlign val="superscript"/>
        <sz val="11"/>
        <color theme="1"/>
        <rFont val="Times New Roman"/>
        <family val="1"/>
      </rPr>
      <t>bc</t>
    </r>
  </si>
  <si>
    <r>
      <t>4.0029</t>
    </r>
    <r>
      <rPr>
        <vertAlign val="superscript"/>
        <sz val="11"/>
        <color theme="1"/>
        <rFont val="Times New Roman"/>
        <family val="1"/>
      </rPr>
      <t>c</t>
    </r>
  </si>
  <si>
    <r>
      <t>2.0571</t>
    </r>
    <r>
      <rPr>
        <vertAlign val="superscript"/>
        <sz val="11"/>
        <color theme="1"/>
        <rFont val="Times New Roman"/>
        <family val="1"/>
      </rPr>
      <t>a</t>
    </r>
  </si>
  <si>
    <r>
      <t>2.8641</t>
    </r>
    <r>
      <rPr>
        <vertAlign val="superscript"/>
        <sz val="11"/>
        <color theme="1"/>
        <rFont val="Times New Roman"/>
        <family val="1"/>
      </rPr>
      <t>b</t>
    </r>
  </si>
  <si>
    <r>
      <t>2.3846</t>
    </r>
    <r>
      <rPr>
        <vertAlign val="superscript"/>
        <sz val="11"/>
        <color theme="1"/>
        <rFont val="Times New Roman"/>
        <family val="1"/>
      </rPr>
      <t>c</t>
    </r>
  </si>
  <si>
    <r>
      <t>2.3904</t>
    </r>
    <r>
      <rPr>
        <vertAlign val="superscript"/>
        <sz val="11"/>
        <color theme="1"/>
        <rFont val="Times New Roman"/>
        <family val="1"/>
      </rPr>
      <t>c</t>
    </r>
  </si>
  <si>
    <r>
      <t>2.3378</t>
    </r>
    <r>
      <rPr>
        <vertAlign val="superscript"/>
        <sz val="11"/>
        <color theme="1"/>
        <rFont val="Times New Roman"/>
        <family val="1"/>
      </rPr>
      <t>c</t>
    </r>
  </si>
  <si>
    <r>
      <t>2.391</t>
    </r>
    <r>
      <rPr>
        <vertAlign val="superscript"/>
        <sz val="11"/>
        <color theme="1"/>
        <rFont val="Times New Roman"/>
        <family val="1"/>
      </rPr>
      <t>c</t>
    </r>
  </si>
  <si>
    <r>
      <t>8.0396</t>
    </r>
    <r>
      <rPr>
        <vertAlign val="superscript"/>
        <sz val="11"/>
        <color theme="1"/>
        <rFont val="Times New Roman"/>
        <family val="1"/>
      </rPr>
      <t>a</t>
    </r>
  </si>
  <si>
    <r>
      <t>9.1205</t>
    </r>
    <r>
      <rPr>
        <vertAlign val="superscript"/>
        <sz val="11"/>
        <color theme="1"/>
        <rFont val="Times New Roman"/>
        <family val="1"/>
      </rPr>
      <t>b</t>
    </r>
  </si>
  <si>
    <r>
      <t>7.2202</t>
    </r>
    <r>
      <rPr>
        <vertAlign val="superscript"/>
        <sz val="11"/>
        <color theme="1"/>
        <rFont val="Times New Roman"/>
        <family val="1"/>
      </rPr>
      <t>c</t>
    </r>
  </si>
  <si>
    <r>
      <t>6.5888</t>
    </r>
    <r>
      <rPr>
        <vertAlign val="superscript"/>
        <sz val="11"/>
        <color theme="1"/>
        <rFont val="Times New Roman"/>
        <family val="1"/>
      </rPr>
      <t>c</t>
    </r>
  </si>
  <si>
    <r>
      <t>7.1397</t>
    </r>
    <r>
      <rPr>
        <vertAlign val="superscript"/>
        <sz val="11"/>
        <color theme="1"/>
        <rFont val="Times New Roman"/>
        <family val="1"/>
      </rPr>
      <t>c</t>
    </r>
  </si>
  <si>
    <r>
      <t>6.5591</t>
    </r>
    <r>
      <rPr>
        <vertAlign val="superscript"/>
        <sz val="11"/>
        <color theme="1"/>
        <rFont val="Times New Roman"/>
        <family val="1"/>
      </rPr>
      <t>b</t>
    </r>
  </si>
  <si>
    <r>
      <t>3.9987</t>
    </r>
    <r>
      <rPr>
        <vertAlign val="superscript"/>
        <sz val="11"/>
        <color theme="1"/>
        <rFont val="Times New Roman"/>
        <family val="1"/>
      </rPr>
      <t>a</t>
    </r>
  </si>
  <si>
    <r>
      <t>4.208</t>
    </r>
    <r>
      <rPr>
        <vertAlign val="superscript"/>
        <sz val="11"/>
        <color theme="1"/>
        <rFont val="Times New Roman"/>
        <family val="1"/>
      </rPr>
      <t>b</t>
    </r>
  </si>
  <si>
    <r>
      <t>4.1283</t>
    </r>
    <r>
      <rPr>
        <vertAlign val="superscript"/>
        <sz val="11"/>
        <color theme="1"/>
        <rFont val="Times New Roman"/>
        <family val="1"/>
      </rPr>
      <t>ab</t>
    </r>
  </si>
  <si>
    <r>
      <t>4.0447</t>
    </r>
    <r>
      <rPr>
        <vertAlign val="superscript"/>
        <sz val="11"/>
        <color theme="1"/>
        <rFont val="Times New Roman"/>
        <family val="1"/>
      </rPr>
      <t>ab</t>
    </r>
  </si>
  <si>
    <r>
      <t>4.1229</t>
    </r>
    <r>
      <rPr>
        <vertAlign val="superscript"/>
        <sz val="11"/>
        <color theme="1"/>
        <rFont val="Times New Roman"/>
        <family val="1"/>
      </rPr>
      <t>ab</t>
    </r>
  </si>
  <si>
    <r>
      <t>4.1891</t>
    </r>
    <r>
      <rPr>
        <vertAlign val="superscript"/>
        <sz val="11"/>
        <color theme="1"/>
        <rFont val="Times New Roman"/>
        <family val="1"/>
      </rPr>
      <t>ab</t>
    </r>
  </si>
  <si>
    <r>
      <t>2.0792</t>
    </r>
    <r>
      <rPr>
        <vertAlign val="superscript"/>
        <sz val="11"/>
        <color theme="1"/>
        <rFont val="Times New Roman"/>
        <family val="1"/>
      </rPr>
      <t>a</t>
    </r>
  </si>
  <si>
    <r>
      <t>2.1697</t>
    </r>
    <r>
      <rPr>
        <vertAlign val="superscript"/>
        <sz val="11"/>
        <color theme="1"/>
        <rFont val="Times New Roman"/>
        <family val="1"/>
      </rPr>
      <t>ab</t>
    </r>
  </si>
  <si>
    <r>
      <t>2.3017</t>
    </r>
    <r>
      <rPr>
        <vertAlign val="superscript"/>
        <sz val="11"/>
        <color theme="1"/>
        <rFont val="Times New Roman"/>
        <family val="1"/>
      </rPr>
      <t>bc</t>
    </r>
  </si>
  <si>
    <r>
      <t>2.4039</t>
    </r>
    <r>
      <rPr>
        <vertAlign val="superscript"/>
        <sz val="11"/>
        <color theme="1"/>
        <rFont val="Times New Roman"/>
        <family val="1"/>
      </rPr>
      <t>c</t>
    </r>
  </si>
  <si>
    <r>
      <t>2.8771</t>
    </r>
    <r>
      <rPr>
        <vertAlign val="superscript"/>
        <sz val="11"/>
        <color theme="1"/>
        <rFont val="Times New Roman"/>
        <family val="1"/>
      </rPr>
      <t>d</t>
    </r>
  </si>
  <si>
    <r>
      <t>8.0727</t>
    </r>
    <r>
      <rPr>
        <vertAlign val="superscript"/>
        <sz val="11"/>
        <color theme="1"/>
        <rFont val="Times New Roman"/>
        <family val="1"/>
      </rPr>
      <t>a</t>
    </r>
  </si>
  <si>
    <r>
      <t>8.9158</t>
    </r>
    <r>
      <rPr>
        <vertAlign val="superscript"/>
        <sz val="11"/>
        <color theme="1"/>
        <rFont val="Times New Roman"/>
        <family val="1"/>
      </rPr>
      <t>a</t>
    </r>
  </si>
  <si>
    <r>
      <t>7.1509</t>
    </r>
    <r>
      <rPr>
        <vertAlign val="superscript"/>
        <sz val="11"/>
        <color theme="1"/>
        <rFont val="Times New Roman"/>
        <family val="1"/>
      </rPr>
      <t>b</t>
    </r>
  </si>
  <si>
    <r>
      <t>6.8771</t>
    </r>
    <r>
      <rPr>
        <vertAlign val="superscript"/>
        <sz val="11"/>
        <color theme="1"/>
        <rFont val="Times New Roman"/>
        <family val="1"/>
      </rPr>
      <t>b</t>
    </r>
  </si>
  <si>
    <r>
      <t>6.8984</t>
    </r>
    <r>
      <rPr>
        <vertAlign val="superscript"/>
        <sz val="11"/>
        <color theme="1"/>
        <rFont val="Times New Roman"/>
        <family val="1"/>
      </rPr>
      <t>b</t>
    </r>
  </si>
  <si>
    <r>
      <t>6.8254</t>
    </r>
    <r>
      <rPr>
        <vertAlign val="superscript"/>
        <sz val="11"/>
        <color theme="1"/>
        <rFont val="Times New Roman"/>
        <family val="1"/>
      </rPr>
      <t>b</t>
    </r>
  </si>
  <si>
    <r>
      <t>3.5425</t>
    </r>
    <r>
      <rPr>
        <vertAlign val="superscript"/>
        <sz val="11"/>
        <color theme="1"/>
        <rFont val="Times New Roman"/>
        <family val="1"/>
      </rPr>
      <t>a</t>
    </r>
  </si>
  <si>
    <r>
      <t>3.9405</t>
    </r>
    <r>
      <rPr>
        <vertAlign val="superscript"/>
        <sz val="11"/>
        <color theme="1"/>
        <rFont val="Times New Roman"/>
        <family val="1"/>
      </rPr>
      <t>b</t>
    </r>
  </si>
  <si>
    <r>
      <t>3.8262</t>
    </r>
    <r>
      <rPr>
        <vertAlign val="superscript"/>
        <sz val="11"/>
        <color theme="1"/>
        <rFont val="Times New Roman"/>
        <family val="1"/>
      </rPr>
      <t>ab</t>
    </r>
  </si>
  <si>
    <r>
      <t>3.7016</t>
    </r>
    <r>
      <rPr>
        <vertAlign val="superscript"/>
        <sz val="11"/>
        <color theme="1"/>
        <rFont val="Times New Roman"/>
        <family val="1"/>
      </rPr>
      <t>ab</t>
    </r>
  </si>
  <si>
    <r>
      <t>3.7881</t>
    </r>
    <r>
      <rPr>
        <vertAlign val="superscript"/>
        <sz val="11"/>
        <color theme="1"/>
        <rFont val="Times New Roman"/>
        <family val="1"/>
      </rPr>
      <t>ab</t>
    </r>
  </si>
  <si>
    <r>
      <t>3.7246</t>
    </r>
    <r>
      <rPr>
        <vertAlign val="superscript"/>
        <sz val="11"/>
        <color theme="1"/>
        <rFont val="Times New Roman"/>
        <family val="1"/>
      </rPr>
      <t>ab</t>
    </r>
  </si>
  <si>
    <r>
      <t>4.0393</t>
    </r>
    <r>
      <rPr>
        <vertAlign val="superscript"/>
        <sz val="11"/>
        <color theme="1"/>
        <rFont val="Times New Roman"/>
        <family val="1"/>
      </rPr>
      <t>a</t>
    </r>
  </si>
  <si>
    <r>
      <t>4.0847</t>
    </r>
    <r>
      <rPr>
        <vertAlign val="superscript"/>
        <sz val="11"/>
        <color theme="1"/>
        <rFont val="Times New Roman"/>
        <family val="1"/>
      </rPr>
      <t>ab</t>
    </r>
  </si>
  <si>
    <r>
      <t>4.1297</t>
    </r>
    <r>
      <rPr>
        <vertAlign val="superscript"/>
        <sz val="11"/>
        <color theme="1"/>
        <rFont val="Times New Roman"/>
        <family val="1"/>
      </rPr>
      <t>ab</t>
    </r>
  </si>
  <si>
    <r>
      <t>4.2016</t>
    </r>
    <r>
      <rPr>
        <vertAlign val="superscript"/>
        <sz val="11"/>
        <color theme="1"/>
        <rFont val="Times New Roman"/>
        <family val="1"/>
      </rPr>
      <t>ab</t>
    </r>
  </si>
  <si>
    <r>
      <t>4.2509</t>
    </r>
    <r>
      <rPr>
        <vertAlign val="superscript"/>
        <sz val="11"/>
        <color theme="1"/>
        <rFont val="Times New Roman"/>
        <family val="1"/>
      </rPr>
      <t>bc</t>
    </r>
  </si>
  <si>
    <r>
      <t>4.3056</t>
    </r>
    <r>
      <rPr>
        <vertAlign val="superscript"/>
        <sz val="11"/>
        <color theme="1"/>
        <rFont val="Times New Roman"/>
        <family val="1"/>
      </rPr>
      <t>c</t>
    </r>
  </si>
  <si>
    <r>
      <t>2.338</t>
    </r>
    <r>
      <rPr>
        <sz val="11"/>
        <color theme="1"/>
        <rFont val="Times New Roman"/>
        <family val="1"/>
      </rPr>
      <t>6</t>
    </r>
    <r>
      <rPr>
        <vertAlign val="superscript"/>
        <sz val="11"/>
        <color theme="1"/>
        <rFont val="Times New Roman"/>
        <family val="1"/>
      </rPr>
      <t>bc</t>
    </r>
  </si>
  <si>
    <r>
      <t>5.8596</t>
    </r>
    <r>
      <rPr>
        <vertAlign val="superscript"/>
        <sz val="11"/>
        <color theme="1"/>
        <rFont val="Times New Roman"/>
        <family val="1"/>
      </rPr>
      <t>a</t>
    </r>
  </si>
  <si>
    <r>
      <t>4.3319</t>
    </r>
    <r>
      <rPr>
        <vertAlign val="superscript"/>
        <sz val="11"/>
        <color theme="1"/>
        <rFont val="Times New Roman"/>
        <family val="1"/>
      </rPr>
      <t>b</t>
    </r>
  </si>
  <si>
    <r>
      <t>4.2129</t>
    </r>
    <r>
      <rPr>
        <vertAlign val="superscript"/>
        <sz val="11"/>
        <color theme="1"/>
        <rFont val="Times New Roman"/>
        <family val="1"/>
      </rPr>
      <t>b</t>
    </r>
  </si>
  <si>
    <r>
      <t>3.7978</t>
    </r>
    <r>
      <rPr>
        <vertAlign val="superscript"/>
        <sz val="11"/>
        <color theme="1"/>
        <rFont val="Times New Roman"/>
        <family val="1"/>
      </rPr>
      <t>b</t>
    </r>
  </si>
  <si>
    <r>
      <t>3.7989</t>
    </r>
    <r>
      <rPr>
        <vertAlign val="superscript"/>
        <sz val="11"/>
        <color theme="1"/>
        <rFont val="Times New Roman"/>
        <family val="1"/>
      </rPr>
      <t>b</t>
    </r>
  </si>
  <si>
    <r>
      <t>5.625</t>
    </r>
    <r>
      <rPr>
        <vertAlign val="superscript"/>
        <sz val="11"/>
        <color theme="1"/>
        <rFont val="Times New Roman"/>
        <family val="1"/>
      </rPr>
      <t>a</t>
    </r>
  </si>
  <si>
    <r>
      <t>4.555</t>
    </r>
    <r>
      <rPr>
        <vertAlign val="superscript"/>
        <sz val="11"/>
        <color theme="1"/>
        <rFont val="Times New Roman"/>
        <family val="1"/>
      </rPr>
      <t>b</t>
    </r>
  </si>
  <si>
    <r>
      <t>4.2605</t>
    </r>
    <r>
      <rPr>
        <vertAlign val="superscript"/>
        <sz val="11"/>
        <color theme="1"/>
        <rFont val="Times New Roman"/>
        <family val="1"/>
      </rPr>
      <t>b</t>
    </r>
  </si>
  <si>
    <r>
      <t>3.3478</t>
    </r>
    <r>
      <rPr>
        <vertAlign val="superscript"/>
        <sz val="11"/>
        <color theme="1"/>
        <rFont val="Times New Roman"/>
        <family val="1"/>
      </rPr>
      <t>c</t>
    </r>
  </si>
  <si>
    <r>
      <t>5.9529</t>
    </r>
    <r>
      <rPr>
        <vertAlign val="superscript"/>
        <sz val="11"/>
        <color theme="1"/>
        <rFont val="Times New Roman"/>
        <family val="1"/>
      </rPr>
      <t>a</t>
    </r>
  </si>
  <si>
    <r>
      <t>4.2925</t>
    </r>
    <r>
      <rPr>
        <vertAlign val="superscript"/>
        <sz val="11"/>
        <color theme="1"/>
        <rFont val="Times New Roman"/>
        <family val="1"/>
      </rPr>
      <t>b</t>
    </r>
  </si>
  <si>
    <r>
      <t>3.8559</t>
    </r>
    <r>
      <rPr>
        <vertAlign val="superscript"/>
        <sz val="11"/>
        <color theme="1"/>
        <rFont val="Times New Roman"/>
        <family val="1"/>
      </rPr>
      <t>b</t>
    </r>
  </si>
  <si>
    <r>
      <t>3.8257</t>
    </r>
    <r>
      <rPr>
        <vertAlign val="superscript"/>
        <sz val="11"/>
        <color theme="1"/>
        <rFont val="Times New Roman"/>
        <family val="1"/>
      </rPr>
      <t>b</t>
    </r>
  </si>
  <si>
    <r>
      <t>3.8254</t>
    </r>
    <r>
      <rPr>
        <vertAlign val="superscript"/>
        <sz val="11"/>
        <color theme="1"/>
        <rFont val="Times New Roman"/>
        <family val="1"/>
      </rPr>
      <t>b</t>
    </r>
  </si>
  <si>
    <t>389*</t>
  </si>
  <si>
    <t>* Note that the SRWBP was a longitudinal study and data were collected from the same participants over their four years at Duke.</t>
  </si>
  <si>
    <t>see Hoyle et al., 2021</t>
  </si>
  <si>
    <t>17.3% - 25.5%</t>
  </si>
  <si>
    <t>Response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</si>
</sst>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ptos Narrow"/>
      <family val="2"/>
    </font>
    <font>
      <sz val="8"/>
      <name val="Times New Roman"/>
      <family val="2"/>
    </font>
    <font>
      <sz val="12"/>
      <color theme="1"/>
      <name val="Times New Roman"/>
      <family val="2"/>
    </font>
    <font>
      <vertAlign val="superscript"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0" fillId="0" borderId="0" xfId="0" quotePrefix="1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6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A958-B6B3-4B32-A10D-4E5412072E38}">
  <dimension ref="A1:BU15"/>
  <sheetViews>
    <sheetView tabSelected="1" workbookViewId="0">
      <pane xSplit="1" topLeftCell="B1" activePane="topRight" state="frozen"/>
      <selection pane="topRight" activeCell="BL7" sqref="BL7:BM7"/>
    </sheetView>
  </sheetViews>
  <sheetFormatPr defaultRowHeight="15" x14ac:dyDescent="0.25"/>
  <cols>
    <col min="1" max="1" width="56.42578125" customWidth="1"/>
    <col min="2" max="15" width="8.28515625" customWidth="1"/>
    <col min="16" max="16" width="3.42578125" customWidth="1"/>
    <col min="17" max="30" width="8.140625" customWidth="1"/>
    <col min="31" max="31" width="3" customWidth="1"/>
    <col min="32" max="45" width="8.140625" customWidth="1"/>
    <col min="46" max="46" width="2.85546875" customWidth="1"/>
    <col min="47" max="60" width="8.140625" customWidth="1"/>
    <col min="61" max="61" width="17.140625" customWidth="1"/>
    <col min="62" max="73" width="8.140625" customWidth="1"/>
  </cols>
  <sheetData>
    <row r="1" spans="1:73" ht="15.75" x14ac:dyDescent="0.25">
      <c r="A1" s="17" t="s">
        <v>16</v>
      </c>
    </row>
    <row r="3" spans="1:73" ht="27.95" customHeight="1" x14ac:dyDescent="0.25">
      <c r="A3" s="2"/>
      <c r="B3" s="18" t="s">
        <v>0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7"/>
      <c r="Q3" s="21" t="s">
        <v>1</v>
      </c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8"/>
      <c r="AF3" s="21" t="s">
        <v>2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8"/>
      <c r="AU3" s="21" t="s">
        <v>3</v>
      </c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8"/>
      <c r="BJ3" s="18" t="s">
        <v>27</v>
      </c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</row>
    <row r="4" spans="1:73" ht="14.1" customHeight="1" x14ac:dyDescent="0.25">
      <c r="A4" s="2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10"/>
      <c r="BK4" s="10"/>
      <c r="BL4" s="10"/>
      <c r="BM4" s="10"/>
      <c r="BN4" s="10"/>
      <c r="BO4" s="10"/>
      <c r="BP4" s="10"/>
      <c r="BQ4" s="10"/>
    </row>
    <row r="5" spans="1:73" ht="28.5" customHeight="1" x14ac:dyDescent="0.25">
      <c r="A5" s="2"/>
      <c r="B5" s="18" t="s">
        <v>17</v>
      </c>
      <c r="C5" s="18"/>
      <c r="D5" s="18" t="s">
        <v>18</v>
      </c>
      <c r="E5" s="18"/>
      <c r="F5" s="18" t="s">
        <v>19</v>
      </c>
      <c r="G5" s="18"/>
      <c r="H5" s="18" t="s">
        <v>20</v>
      </c>
      <c r="I5" s="18"/>
      <c r="J5" s="18" t="s">
        <v>21</v>
      </c>
      <c r="K5" s="18"/>
      <c r="L5" s="18" t="s">
        <v>22</v>
      </c>
      <c r="M5" s="18"/>
      <c r="N5" s="7"/>
      <c r="O5" s="7"/>
      <c r="P5" s="7"/>
      <c r="Q5" s="18" t="s">
        <v>23</v>
      </c>
      <c r="R5" s="18"/>
      <c r="S5" s="18" t="s">
        <v>18</v>
      </c>
      <c r="T5" s="18"/>
      <c r="U5" s="18" t="s">
        <v>19</v>
      </c>
      <c r="V5" s="18"/>
      <c r="W5" s="18" t="s">
        <v>20</v>
      </c>
      <c r="X5" s="18"/>
      <c r="Y5" s="18" t="s">
        <v>21</v>
      </c>
      <c r="Z5" s="18"/>
      <c r="AA5" s="18" t="s">
        <v>22</v>
      </c>
      <c r="AB5" s="18"/>
      <c r="AC5" s="7"/>
      <c r="AD5" s="7"/>
      <c r="AE5" s="7"/>
      <c r="AF5" s="18" t="s">
        <v>24</v>
      </c>
      <c r="AG5" s="18"/>
      <c r="AH5" s="18" t="s">
        <v>18</v>
      </c>
      <c r="AI5" s="18"/>
      <c r="AJ5" s="18" t="s">
        <v>19</v>
      </c>
      <c r="AK5" s="18"/>
      <c r="AL5" s="18" t="s">
        <v>20</v>
      </c>
      <c r="AM5" s="18"/>
      <c r="AN5" s="18" t="s">
        <v>21</v>
      </c>
      <c r="AO5" s="18"/>
      <c r="AP5" s="18" t="s">
        <v>22</v>
      </c>
      <c r="AQ5" s="18"/>
      <c r="AR5" s="7"/>
      <c r="AS5" s="7"/>
      <c r="AT5" s="7"/>
      <c r="AU5" s="18" t="s">
        <v>25</v>
      </c>
      <c r="AV5" s="18"/>
      <c r="AW5" s="18" t="s">
        <v>18</v>
      </c>
      <c r="AX5" s="18"/>
      <c r="AY5" s="18" t="s">
        <v>19</v>
      </c>
      <c r="AZ5" s="18"/>
      <c r="BA5" s="18" t="s">
        <v>20</v>
      </c>
      <c r="BB5" s="18"/>
      <c r="BC5" s="18" t="s">
        <v>21</v>
      </c>
      <c r="BD5" s="18"/>
      <c r="BE5" s="18" t="s">
        <v>22</v>
      </c>
      <c r="BF5" s="18"/>
      <c r="BG5" s="7"/>
      <c r="BH5" s="7"/>
      <c r="BI5" s="7"/>
      <c r="BJ5" s="18" t="s">
        <v>26</v>
      </c>
      <c r="BK5" s="18"/>
      <c r="BL5" s="18" t="s">
        <v>18</v>
      </c>
      <c r="BM5" s="18"/>
      <c r="BN5" s="18" t="s">
        <v>19</v>
      </c>
      <c r="BO5" s="18"/>
      <c r="BP5" s="18" t="s">
        <v>20</v>
      </c>
      <c r="BQ5" s="18"/>
      <c r="BR5" s="18" t="s">
        <v>21</v>
      </c>
      <c r="BS5" s="18"/>
      <c r="BT5" s="18" t="s">
        <v>22</v>
      </c>
      <c r="BU5" s="18"/>
    </row>
    <row r="6" spans="1:73" x14ac:dyDescent="0.25">
      <c r="A6" s="12" t="s">
        <v>13</v>
      </c>
      <c r="B6" s="20">
        <v>389</v>
      </c>
      <c r="C6" s="20"/>
      <c r="D6" s="19">
        <v>306</v>
      </c>
      <c r="E6" s="19"/>
      <c r="F6" s="19" t="s">
        <v>4</v>
      </c>
      <c r="G6" s="19"/>
      <c r="H6" s="19">
        <v>396</v>
      </c>
      <c r="I6" s="19"/>
      <c r="J6" s="19">
        <v>471</v>
      </c>
      <c r="K6" s="19"/>
      <c r="L6" s="19">
        <v>243</v>
      </c>
      <c r="M6" s="19"/>
      <c r="P6" s="14"/>
      <c r="Q6" s="19">
        <v>308</v>
      </c>
      <c r="R6" s="19"/>
      <c r="S6" s="19">
        <v>292</v>
      </c>
      <c r="T6" s="19"/>
      <c r="U6" s="19">
        <v>240</v>
      </c>
      <c r="V6" s="19"/>
      <c r="W6" s="19">
        <v>310</v>
      </c>
      <c r="X6" s="19"/>
      <c r="Y6" s="19">
        <v>357</v>
      </c>
      <c r="Z6" s="19"/>
      <c r="AA6" s="19">
        <v>173</v>
      </c>
      <c r="AB6" s="19"/>
      <c r="AC6" s="14"/>
      <c r="AD6" s="14"/>
      <c r="AE6" s="14"/>
      <c r="AF6" s="19">
        <v>279</v>
      </c>
      <c r="AG6" s="19"/>
      <c r="AH6" s="19">
        <v>224</v>
      </c>
      <c r="AI6" s="19"/>
      <c r="AJ6" s="19">
        <v>218</v>
      </c>
      <c r="AK6" s="19"/>
      <c r="AL6" s="19">
        <v>197</v>
      </c>
      <c r="AM6" s="19"/>
      <c r="AN6" s="19">
        <v>358</v>
      </c>
      <c r="AO6" s="19"/>
      <c r="AP6" s="19">
        <v>93</v>
      </c>
      <c r="AQ6" s="19"/>
      <c r="AR6" s="14"/>
      <c r="AS6" s="14"/>
      <c r="AT6" s="14"/>
      <c r="AU6" s="19">
        <v>280</v>
      </c>
      <c r="AV6" s="19"/>
      <c r="AW6" s="19">
        <v>190</v>
      </c>
      <c r="AX6" s="19"/>
      <c r="AY6" s="19">
        <v>106</v>
      </c>
      <c r="AZ6" s="19"/>
      <c r="BA6" s="19">
        <v>236</v>
      </c>
      <c r="BB6" s="19"/>
      <c r="BC6" s="19">
        <v>305</v>
      </c>
      <c r="BD6" s="19"/>
      <c r="BE6" s="19">
        <v>126</v>
      </c>
      <c r="BF6" s="19"/>
      <c r="BG6" s="14"/>
      <c r="BH6" s="14"/>
      <c r="BI6" s="7"/>
      <c r="BJ6" s="18" t="s">
        <v>127</v>
      </c>
      <c r="BK6" s="18"/>
      <c r="BL6" s="18">
        <f>SUM(D6, S6, AH6, AW6)</f>
        <v>1012</v>
      </c>
      <c r="BM6" s="18"/>
      <c r="BN6" s="18">
        <f>SUM(U6, AJ6, AY6)</f>
        <v>564</v>
      </c>
      <c r="BO6" s="18"/>
      <c r="BP6" s="18">
        <f>SUM(H6, W6, AL6, BA6)</f>
        <v>1139</v>
      </c>
      <c r="BQ6" s="18"/>
      <c r="BR6" s="18">
        <f>SUM(J6, Y6, AN6, BC6)</f>
        <v>1491</v>
      </c>
      <c r="BS6" s="18"/>
      <c r="BT6" s="18">
        <f>SUM(L6, AA6, AP6, BE6)</f>
        <v>635</v>
      </c>
      <c r="BU6" s="18"/>
    </row>
    <row r="7" spans="1:73" ht="30" customHeight="1" x14ac:dyDescent="0.25">
      <c r="A7" s="12"/>
      <c r="B7" s="13"/>
      <c r="C7" s="13"/>
      <c r="D7" s="14"/>
      <c r="E7" s="14"/>
      <c r="F7" s="14"/>
      <c r="G7" s="14"/>
      <c r="H7" s="14"/>
      <c r="I7" s="14"/>
      <c r="J7" s="14"/>
      <c r="K7" s="14"/>
      <c r="L7" s="14"/>
      <c r="M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7" t="s">
        <v>131</v>
      </c>
      <c r="BJ7" s="18" t="s">
        <v>129</v>
      </c>
      <c r="BK7" s="18"/>
      <c r="BL7" s="22">
        <v>0.154</v>
      </c>
      <c r="BM7" s="18"/>
      <c r="BN7" s="18" t="s">
        <v>130</v>
      </c>
      <c r="BO7" s="18"/>
      <c r="BP7" s="22">
        <v>0.26700000000000002</v>
      </c>
      <c r="BQ7" s="18"/>
      <c r="BR7" s="22">
        <v>0.21199999999999999</v>
      </c>
      <c r="BS7" s="18"/>
      <c r="BT7" s="22">
        <v>0.185</v>
      </c>
      <c r="BU7" s="18"/>
    </row>
    <row r="8" spans="1:73" x14ac:dyDescent="0.25">
      <c r="A8" s="2" t="s">
        <v>12</v>
      </c>
      <c r="B8" s="9" t="s">
        <v>5</v>
      </c>
      <c r="C8" s="9" t="s">
        <v>6</v>
      </c>
      <c r="D8" s="9" t="s">
        <v>5</v>
      </c>
      <c r="E8" s="9" t="s">
        <v>6</v>
      </c>
      <c r="F8" s="9" t="s">
        <v>5</v>
      </c>
      <c r="G8" s="9" t="s">
        <v>6</v>
      </c>
      <c r="H8" s="9" t="s">
        <v>5</v>
      </c>
      <c r="I8" s="9" t="s">
        <v>6</v>
      </c>
      <c r="J8" s="9" t="s">
        <v>5</v>
      </c>
      <c r="K8" s="9" t="s">
        <v>6</v>
      </c>
      <c r="L8" s="9" t="s">
        <v>5</v>
      </c>
      <c r="M8" s="9" t="s">
        <v>6</v>
      </c>
      <c r="N8" s="9" t="s">
        <v>28</v>
      </c>
      <c r="O8" s="9" t="s">
        <v>14</v>
      </c>
      <c r="P8" s="9"/>
      <c r="Q8" s="9" t="s">
        <v>5</v>
      </c>
      <c r="R8" s="9" t="s">
        <v>6</v>
      </c>
      <c r="S8" s="9" t="s">
        <v>5</v>
      </c>
      <c r="T8" s="9" t="s">
        <v>6</v>
      </c>
      <c r="U8" s="9" t="s">
        <v>5</v>
      </c>
      <c r="V8" s="9" t="s">
        <v>6</v>
      </c>
      <c r="W8" s="9" t="s">
        <v>5</v>
      </c>
      <c r="X8" s="9" t="s">
        <v>6</v>
      </c>
      <c r="Y8" s="9" t="s">
        <v>5</v>
      </c>
      <c r="Z8" s="9" t="s">
        <v>6</v>
      </c>
      <c r="AA8" s="9" t="s">
        <v>5</v>
      </c>
      <c r="AB8" s="9" t="s">
        <v>6</v>
      </c>
      <c r="AC8" s="9" t="s">
        <v>28</v>
      </c>
      <c r="AD8" s="9" t="s">
        <v>14</v>
      </c>
      <c r="AE8" s="7"/>
      <c r="AF8" s="9" t="s">
        <v>5</v>
      </c>
      <c r="AG8" s="9" t="s">
        <v>6</v>
      </c>
      <c r="AH8" s="9" t="s">
        <v>5</v>
      </c>
      <c r="AI8" s="9" t="s">
        <v>6</v>
      </c>
      <c r="AJ8" s="9" t="s">
        <v>5</v>
      </c>
      <c r="AK8" s="9" t="s">
        <v>6</v>
      </c>
      <c r="AL8" s="9" t="s">
        <v>5</v>
      </c>
      <c r="AM8" s="9" t="s">
        <v>6</v>
      </c>
      <c r="AN8" s="9" t="s">
        <v>5</v>
      </c>
      <c r="AO8" s="9" t="s">
        <v>6</v>
      </c>
      <c r="AP8" s="9" t="s">
        <v>5</v>
      </c>
      <c r="AQ8" s="9" t="s">
        <v>6</v>
      </c>
      <c r="AR8" s="9" t="s">
        <v>28</v>
      </c>
      <c r="AS8" s="9" t="s">
        <v>14</v>
      </c>
      <c r="AT8" s="7"/>
      <c r="AU8" s="9" t="s">
        <v>5</v>
      </c>
      <c r="AV8" s="9" t="s">
        <v>6</v>
      </c>
      <c r="AW8" s="9" t="s">
        <v>5</v>
      </c>
      <c r="AX8" s="9" t="s">
        <v>6</v>
      </c>
      <c r="AY8" s="9" t="s">
        <v>5</v>
      </c>
      <c r="AZ8" s="9" t="s">
        <v>6</v>
      </c>
      <c r="BA8" s="9" t="s">
        <v>5</v>
      </c>
      <c r="BB8" s="9" t="s">
        <v>6</v>
      </c>
      <c r="BC8" s="9" t="s">
        <v>5</v>
      </c>
      <c r="BD8" s="9" t="s">
        <v>6</v>
      </c>
      <c r="BE8" s="9" t="s">
        <v>5</v>
      </c>
      <c r="BF8" s="9" t="s">
        <v>6</v>
      </c>
      <c r="BG8" s="9" t="s">
        <v>28</v>
      </c>
      <c r="BH8" s="9" t="s">
        <v>14</v>
      </c>
      <c r="BI8" s="7"/>
      <c r="BJ8" s="9" t="s">
        <v>5</v>
      </c>
      <c r="BK8" s="9" t="s">
        <v>6</v>
      </c>
      <c r="BL8" s="9" t="s">
        <v>5</v>
      </c>
      <c r="BM8" s="9" t="s">
        <v>6</v>
      </c>
      <c r="BN8" s="9" t="s">
        <v>5</v>
      </c>
      <c r="BO8" s="9" t="s">
        <v>6</v>
      </c>
      <c r="BP8" s="9" t="s">
        <v>5</v>
      </c>
      <c r="BQ8" s="9" t="s">
        <v>6</v>
      </c>
      <c r="BR8" s="9" t="s">
        <v>5</v>
      </c>
      <c r="BS8" s="9" t="s">
        <v>6</v>
      </c>
      <c r="BT8" s="9" t="s">
        <v>5</v>
      </c>
      <c r="BU8" s="9" t="s">
        <v>6</v>
      </c>
    </row>
    <row r="9" spans="1:73" ht="18" x14ac:dyDescent="0.25">
      <c r="A9" s="1" t="s">
        <v>11</v>
      </c>
      <c r="B9" s="5" t="s">
        <v>29</v>
      </c>
      <c r="C9" s="5">
        <v>0.76659999999999995</v>
      </c>
      <c r="D9" s="5" t="s">
        <v>34</v>
      </c>
      <c r="E9" s="5">
        <v>0.71833999999999998</v>
      </c>
      <c r="F9" s="15" t="s">
        <v>4</v>
      </c>
      <c r="G9" s="15" t="s">
        <v>4</v>
      </c>
      <c r="H9" s="5" t="s">
        <v>35</v>
      </c>
      <c r="I9" s="5">
        <v>0.65498000000000001</v>
      </c>
      <c r="J9" s="5" t="s">
        <v>36</v>
      </c>
      <c r="K9" s="5">
        <v>0.66173999999999999</v>
      </c>
      <c r="L9" s="5" t="s">
        <v>37</v>
      </c>
      <c r="M9" s="5">
        <v>0.75931000000000004</v>
      </c>
      <c r="N9" s="5">
        <v>73.34</v>
      </c>
      <c r="O9" s="5" t="s">
        <v>15</v>
      </c>
      <c r="P9" s="5"/>
      <c r="Q9" s="5" t="s">
        <v>53</v>
      </c>
      <c r="R9" s="5">
        <v>0.68211999999999995</v>
      </c>
      <c r="S9" s="5" t="s">
        <v>58</v>
      </c>
      <c r="T9" s="5">
        <v>0.80310999999999999</v>
      </c>
      <c r="U9" s="5" t="s">
        <v>57</v>
      </c>
      <c r="V9" s="5">
        <v>0.70582</v>
      </c>
      <c r="W9" s="5" t="s">
        <v>56</v>
      </c>
      <c r="X9" s="5">
        <v>0.66066000000000003</v>
      </c>
      <c r="Y9" s="5" t="s">
        <v>55</v>
      </c>
      <c r="Z9" s="5">
        <v>0.65996999999999995</v>
      </c>
      <c r="AA9" s="5" t="s">
        <v>54</v>
      </c>
      <c r="AB9" s="5">
        <v>0.73129</v>
      </c>
      <c r="AC9" s="5">
        <v>46.506</v>
      </c>
      <c r="AD9" s="5" t="s">
        <v>15</v>
      </c>
      <c r="AE9" s="5"/>
      <c r="AF9" s="5" t="s">
        <v>71</v>
      </c>
      <c r="AG9" s="5">
        <v>0.69116999999999995</v>
      </c>
      <c r="AH9" s="5" t="s">
        <v>72</v>
      </c>
      <c r="AI9" s="5">
        <v>0.72243000000000002</v>
      </c>
      <c r="AJ9" s="5" t="s">
        <v>73</v>
      </c>
      <c r="AK9" s="5">
        <v>0.66010000000000002</v>
      </c>
      <c r="AL9" s="5" t="s">
        <v>74</v>
      </c>
      <c r="AM9" s="5">
        <v>0.66039000000000003</v>
      </c>
      <c r="AN9" s="5" t="s">
        <v>75</v>
      </c>
      <c r="AO9" s="5">
        <v>0.67118</v>
      </c>
      <c r="AP9" s="5" t="s">
        <v>76</v>
      </c>
      <c r="AQ9" s="5">
        <v>0.75131000000000003</v>
      </c>
      <c r="AR9" s="5">
        <v>34.911999999999999</v>
      </c>
      <c r="AS9" s="5" t="s">
        <v>15</v>
      </c>
      <c r="AT9" s="5"/>
      <c r="AU9" s="5" t="s">
        <v>89</v>
      </c>
      <c r="AV9" s="5">
        <v>0.75277000000000005</v>
      </c>
      <c r="AW9" s="5" t="s">
        <v>93</v>
      </c>
      <c r="AX9" s="5">
        <v>0.78942999999999997</v>
      </c>
      <c r="AY9" s="5" t="s">
        <v>92</v>
      </c>
      <c r="AZ9" s="5">
        <v>0.73126999999999998</v>
      </c>
      <c r="BA9" s="5" t="s">
        <v>112</v>
      </c>
      <c r="BB9" s="5">
        <v>0.72162000000000004</v>
      </c>
      <c r="BC9" s="5" t="s">
        <v>91</v>
      </c>
      <c r="BD9" s="5">
        <v>0.64717999999999998</v>
      </c>
      <c r="BE9" s="5" t="s">
        <v>90</v>
      </c>
      <c r="BF9" s="5">
        <v>0.74707000000000001</v>
      </c>
      <c r="BG9" s="5">
        <v>29.763000000000002</v>
      </c>
      <c r="BH9" s="5" t="s">
        <v>15</v>
      </c>
      <c r="BI9" s="5"/>
      <c r="BJ9" s="5">
        <v>2.0326500000000003</v>
      </c>
      <c r="BK9" s="5">
        <v>0.72316499999999995</v>
      </c>
      <c r="BL9" s="5">
        <v>2.8613500000000003</v>
      </c>
      <c r="BM9" s="5">
        <v>0.75832749999999993</v>
      </c>
      <c r="BN9" s="5">
        <v>2.3909333333333334</v>
      </c>
      <c r="BO9" s="5">
        <v>0.69906333333333326</v>
      </c>
      <c r="BP9" s="5">
        <v>2.3432499999999998</v>
      </c>
      <c r="BQ9" s="5">
        <v>0.67441250000000008</v>
      </c>
      <c r="BR9" s="5">
        <v>2.2783250000000002</v>
      </c>
      <c r="BS9" s="5">
        <v>0.66001750000000003</v>
      </c>
      <c r="BT9" s="5">
        <v>2.2384249999999999</v>
      </c>
      <c r="BU9" s="5">
        <v>0.74724500000000005</v>
      </c>
    </row>
    <row r="10" spans="1:73" ht="18" x14ac:dyDescent="0.25">
      <c r="A10" s="4" t="s">
        <v>8</v>
      </c>
      <c r="B10" s="5" t="s">
        <v>38</v>
      </c>
      <c r="C10" s="5">
        <v>2.0446</v>
      </c>
      <c r="D10" s="5" t="s">
        <v>39</v>
      </c>
      <c r="E10" s="5">
        <v>2.7459600000000002</v>
      </c>
      <c r="F10" s="15" t="s">
        <v>4</v>
      </c>
      <c r="G10" s="15" t="s">
        <v>4</v>
      </c>
      <c r="H10" s="5" t="s">
        <v>40</v>
      </c>
      <c r="I10" s="5">
        <v>2.78043</v>
      </c>
      <c r="J10" s="5" t="s">
        <v>41</v>
      </c>
      <c r="K10" s="5">
        <v>2.72275</v>
      </c>
      <c r="L10" s="5" t="s">
        <v>42</v>
      </c>
      <c r="M10" s="5">
        <v>2.9671500000000002</v>
      </c>
      <c r="N10" s="5">
        <v>37.536999999999999</v>
      </c>
      <c r="O10" s="5" t="s">
        <v>15</v>
      </c>
      <c r="P10" s="5"/>
      <c r="Q10" s="5" t="s">
        <v>63</v>
      </c>
      <c r="R10" s="5">
        <v>1.78268</v>
      </c>
      <c r="S10" s="5" t="s">
        <v>64</v>
      </c>
      <c r="T10" s="5">
        <v>3.41716</v>
      </c>
      <c r="U10" s="5" t="s">
        <v>62</v>
      </c>
      <c r="V10" s="5">
        <v>3.02074</v>
      </c>
      <c r="W10" s="5" t="s">
        <v>61</v>
      </c>
      <c r="X10" s="5">
        <v>2.9480400000000002</v>
      </c>
      <c r="Y10" s="5" t="s">
        <v>60</v>
      </c>
      <c r="Z10" s="5">
        <v>2.9530599999999998</v>
      </c>
      <c r="AA10" s="5" t="s">
        <v>59</v>
      </c>
      <c r="AB10" s="5">
        <v>2.9171299999999998</v>
      </c>
      <c r="AC10" s="5">
        <v>19.763999999999999</v>
      </c>
      <c r="AD10" s="5" t="s">
        <v>15</v>
      </c>
      <c r="AE10" s="5"/>
      <c r="AF10" s="5" t="s">
        <v>77</v>
      </c>
      <c r="AG10" s="5">
        <v>1.72742</v>
      </c>
      <c r="AH10" s="5" t="s">
        <v>78</v>
      </c>
      <c r="AI10" s="5">
        <v>2.84246</v>
      </c>
      <c r="AJ10" s="5" t="s">
        <v>79</v>
      </c>
      <c r="AK10" s="5">
        <v>3.2139000000000002</v>
      </c>
      <c r="AL10" s="5" t="s">
        <v>80</v>
      </c>
      <c r="AM10" s="5">
        <v>2.9465400000000002</v>
      </c>
      <c r="AN10" s="5" t="s">
        <v>81</v>
      </c>
      <c r="AO10" s="5">
        <v>2.9906600000000001</v>
      </c>
      <c r="AP10" s="5" t="s">
        <v>82</v>
      </c>
      <c r="AQ10" s="5">
        <v>3.13279</v>
      </c>
      <c r="AR10" s="5">
        <v>24.931000000000001</v>
      </c>
      <c r="AS10" s="5" t="s">
        <v>15</v>
      </c>
      <c r="AT10" s="5"/>
      <c r="AU10" s="5" t="s">
        <v>94</v>
      </c>
      <c r="AV10" s="5">
        <v>2.1088499999999999</v>
      </c>
      <c r="AW10" s="5" t="s">
        <v>95</v>
      </c>
      <c r="AX10" s="5">
        <v>3.3638699999999999</v>
      </c>
      <c r="AY10" s="5" t="s">
        <v>96</v>
      </c>
      <c r="AZ10" s="5">
        <v>2.8975900000000001</v>
      </c>
      <c r="BA10" s="5" t="s">
        <v>97</v>
      </c>
      <c r="BB10" s="5">
        <v>3.2586599999999999</v>
      </c>
      <c r="BC10" s="5" t="s">
        <v>98</v>
      </c>
      <c r="BD10" s="5">
        <v>2.9512800000000001</v>
      </c>
      <c r="BE10" s="5" t="s">
        <v>99</v>
      </c>
      <c r="BF10" s="5">
        <v>2.9666899999999998</v>
      </c>
      <c r="BG10" s="5">
        <v>17.459</v>
      </c>
      <c r="BH10" s="5" t="s">
        <v>15</v>
      </c>
      <c r="BI10" s="5"/>
      <c r="BJ10" s="5">
        <v>8.0328999999999997</v>
      </c>
      <c r="BK10" s="5">
        <v>1.9158875000000002</v>
      </c>
      <c r="BL10" s="5">
        <v>8.723275000000001</v>
      </c>
      <c r="BM10" s="5">
        <v>3.0923625000000001</v>
      </c>
      <c r="BN10" s="5">
        <v>7.2938666666666663</v>
      </c>
      <c r="BO10" s="5">
        <v>3.0440766666666668</v>
      </c>
      <c r="BP10" s="5">
        <v>6.7908749999999998</v>
      </c>
      <c r="BQ10" s="5">
        <v>2.9834174999999998</v>
      </c>
      <c r="BR10" s="5">
        <v>6.858625</v>
      </c>
      <c r="BS10" s="5">
        <v>2.9044375000000002</v>
      </c>
      <c r="BT10" s="5">
        <v>6.6319250000000007</v>
      </c>
      <c r="BU10" s="5">
        <v>2.99594</v>
      </c>
    </row>
    <row r="11" spans="1:73" ht="18" x14ac:dyDescent="0.25">
      <c r="A11" s="4" t="s">
        <v>9</v>
      </c>
      <c r="B11" s="15" t="s">
        <v>4</v>
      </c>
      <c r="C11" s="15" t="s">
        <v>4</v>
      </c>
      <c r="D11" s="5" t="s">
        <v>30</v>
      </c>
      <c r="E11" s="5">
        <v>3.0080100000000001</v>
      </c>
      <c r="F11" s="15" t="s">
        <v>4</v>
      </c>
      <c r="G11" s="15" t="s">
        <v>4</v>
      </c>
      <c r="H11" s="5" t="s">
        <v>31</v>
      </c>
      <c r="I11" s="5">
        <v>2.6460599999999999</v>
      </c>
      <c r="J11" s="5" t="s">
        <v>32</v>
      </c>
      <c r="K11" s="5">
        <v>2.6595300000000002</v>
      </c>
      <c r="L11" s="5" t="s">
        <v>33</v>
      </c>
      <c r="M11" s="5">
        <v>2.78057</v>
      </c>
      <c r="N11" s="5">
        <v>26.271000000000001</v>
      </c>
      <c r="O11" s="5" t="s">
        <v>15</v>
      </c>
      <c r="P11" s="5"/>
      <c r="Q11" s="15" t="s">
        <v>4</v>
      </c>
      <c r="R11" s="15" t="s">
        <v>4</v>
      </c>
      <c r="S11" s="5" t="s">
        <v>113</v>
      </c>
      <c r="T11" s="5">
        <v>3.6208800000000001</v>
      </c>
      <c r="U11" s="5" t="s">
        <v>114</v>
      </c>
      <c r="V11" s="5">
        <v>3.0054599999999998</v>
      </c>
      <c r="W11" s="5" t="s">
        <v>115</v>
      </c>
      <c r="X11" s="5">
        <v>2.8019599999999998</v>
      </c>
      <c r="Y11" s="5" t="s">
        <v>116</v>
      </c>
      <c r="Z11" s="5">
        <v>2.8351099999999998</v>
      </c>
      <c r="AA11" s="5" t="s">
        <v>117</v>
      </c>
      <c r="AB11" s="5">
        <v>3.0296799999999999</v>
      </c>
      <c r="AC11" s="5">
        <v>21.960999999999999</v>
      </c>
      <c r="AD11" s="5" t="s">
        <v>15</v>
      </c>
      <c r="AE11" s="5"/>
      <c r="AF11" s="15" t="s">
        <v>4</v>
      </c>
      <c r="AG11" s="15" t="s">
        <v>4</v>
      </c>
      <c r="AH11" s="5" t="s">
        <v>118</v>
      </c>
      <c r="AI11" s="5">
        <v>3.1183700000000001</v>
      </c>
      <c r="AJ11" s="5" t="s">
        <v>119</v>
      </c>
      <c r="AK11" s="5">
        <v>3.2498399999999998</v>
      </c>
      <c r="AL11" s="5" t="s">
        <v>67</v>
      </c>
      <c r="AM11" s="5">
        <v>2.75576</v>
      </c>
      <c r="AN11" s="5" t="s">
        <v>120</v>
      </c>
      <c r="AO11" s="5">
        <v>2.93601</v>
      </c>
      <c r="AP11" s="5" t="s">
        <v>121</v>
      </c>
      <c r="AQ11" s="5">
        <v>2.9850699999999999</v>
      </c>
      <c r="AR11" s="5">
        <v>14.364000000000001</v>
      </c>
      <c r="AS11" s="5" t="s">
        <v>15</v>
      </c>
      <c r="AT11" s="5"/>
      <c r="AU11" s="15" t="s">
        <v>4</v>
      </c>
      <c r="AV11" s="15" t="s">
        <v>4</v>
      </c>
      <c r="AW11" s="5" t="s">
        <v>122</v>
      </c>
      <c r="AX11" s="5">
        <v>3.3565100000000001</v>
      </c>
      <c r="AY11" s="5" t="s">
        <v>123</v>
      </c>
      <c r="AZ11" s="5">
        <v>2.94381</v>
      </c>
      <c r="BA11" s="5" t="s">
        <v>124</v>
      </c>
      <c r="BB11" s="5">
        <v>2.87846</v>
      </c>
      <c r="BC11" s="5" t="s">
        <v>125</v>
      </c>
      <c r="BD11" s="5">
        <v>2.7693300000000001</v>
      </c>
      <c r="BE11" s="5" t="s">
        <v>126</v>
      </c>
      <c r="BF11" s="5">
        <v>2.92049</v>
      </c>
      <c r="BG11" s="5">
        <v>18.991</v>
      </c>
      <c r="BH11" s="5" t="s">
        <v>15</v>
      </c>
      <c r="BI11" s="5"/>
      <c r="BJ11" s="16" t="s">
        <v>4</v>
      </c>
      <c r="BK11" s="16" t="s">
        <v>4</v>
      </c>
      <c r="BL11" s="5">
        <v>5.8125</v>
      </c>
      <c r="BM11" s="5">
        <v>3.2759425000000002</v>
      </c>
      <c r="BN11" s="5">
        <v>4.393133333333334</v>
      </c>
      <c r="BO11" s="5">
        <v>3.0663700000000005</v>
      </c>
      <c r="BP11" s="5">
        <v>3.9535666666666667</v>
      </c>
      <c r="BQ11" s="5">
        <v>2.7705600000000001</v>
      </c>
      <c r="BR11" s="5">
        <v>3.9613333333333336</v>
      </c>
      <c r="BS11" s="5">
        <v>2.799995</v>
      </c>
      <c r="BT11" s="5">
        <v>3.6573666666666669</v>
      </c>
      <c r="BU11" s="5">
        <v>2.9289525000000003</v>
      </c>
    </row>
    <row r="12" spans="1:73" ht="18" x14ac:dyDescent="0.25">
      <c r="A12" s="3" t="s">
        <v>7</v>
      </c>
      <c r="B12" s="6" t="s">
        <v>43</v>
      </c>
      <c r="C12" s="6">
        <v>0.88473999999999997</v>
      </c>
      <c r="D12" s="6" t="s">
        <v>44</v>
      </c>
      <c r="E12" s="6">
        <v>0.86102999999999996</v>
      </c>
      <c r="F12" s="15" t="s">
        <v>4</v>
      </c>
      <c r="G12" s="15" t="s">
        <v>4</v>
      </c>
      <c r="H12" s="6" t="s">
        <v>45</v>
      </c>
      <c r="I12" s="6">
        <v>0.93791999999999998</v>
      </c>
      <c r="J12" s="6" t="s">
        <v>46</v>
      </c>
      <c r="K12" s="6">
        <v>0.84460000000000002</v>
      </c>
      <c r="L12" s="6" t="s">
        <v>47</v>
      </c>
      <c r="M12" s="6">
        <v>0.96719999999999995</v>
      </c>
      <c r="N12" s="6">
        <v>3.1819999999999999</v>
      </c>
      <c r="O12" s="6">
        <v>1.2999999999999999E-2</v>
      </c>
      <c r="P12" s="6"/>
      <c r="Q12" s="6" t="s">
        <v>67</v>
      </c>
      <c r="R12" s="6">
        <v>0.94050999999999996</v>
      </c>
      <c r="S12" s="6" t="s">
        <v>66</v>
      </c>
      <c r="T12" s="6">
        <v>0.93930000000000002</v>
      </c>
      <c r="U12" s="6" t="s">
        <v>65</v>
      </c>
      <c r="V12" s="6">
        <v>1.0071600000000001</v>
      </c>
      <c r="W12" s="6" t="s">
        <v>68</v>
      </c>
      <c r="X12" s="6">
        <v>0.90032000000000001</v>
      </c>
      <c r="Y12" s="6" t="s">
        <v>69</v>
      </c>
      <c r="Z12" s="6">
        <v>0.91379999999999995</v>
      </c>
      <c r="AA12" s="6" t="s">
        <v>70</v>
      </c>
      <c r="AB12" s="6">
        <v>0.93811</v>
      </c>
      <c r="AC12" s="6">
        <v>10.037000000000001</v>
      </c>
      <c r="AD12" s="5" t="s">
        <v>15</v>
      </c>
      <c r="AE12" s="6"/>
      <c r="AF12" s="6">
        <v>3.7938999999999998</v>
      </c>
      <c r="AG12" s="6">
        <v>0.95943000000000001</v>
      </c>
      <c r="AH12" s="6">
        <v>3.7454999999999998</v>
      </c>
      <c r="AI12" s="6">
        <v>0.92908999999999997</v>
      </c>
      <c r="AJ12" s="6">
        <v>3.6175000000000002</v>
      </c>
      <c r="AK12" s="6">
        <v>1.01779</v>
      </c>
      <c r="AL12" s="6">
        <v>3.7437</v>
      </c>
      <c r="AM12" s="6">
        <v>1.0083899999999999</v>
      </c>
      <c r="AN12" s="6">
        <v>3.7486000000000002</v>
      </c>
      <c r="AO12" s="6">
        <v>1.0369600000000001</v>
      </c>
      <c r="AP12" s="6">
        <v>3.8332999999999999</v>
      </c>
      <c r="AQ12" s="6">
        <v>0.97058</v>
      </c>
      <c r="AR12" s="6">
        <v>0.996</v>
      </c>
      <c r="AS12" s="6">
        <v>0.41799999999999998</v>
      </c>
      <c r="AT12" s="6"/>
      <c r="AU12" s="6" t="s">
        <v>102</v>
      </c>
      <c r="AV12" s="6">
        <v>0.98021000000000003</v>
      </c>
      <c r="AW12" s="6" t="s">
        <v>103</v>
      </c>
      <c r="AX12" s="6">
        <v>1.0025999999999999</v>
      </c>
      <c r="AY12" s="6" t="s">
        <v>100</v>
      </c>
      <c r="AZ12" s="6">
        <v>1.0026600000000001</v>
      </c>
      <c r="BA12" s="6" t="s">
        <v>104</v>
      </c>
      <c r="BB12" s="6">
        <v>1.0617300000000001</v>
      </c>
      <c r="BC12" s="6" t="s">
        <v>105</v>
      </c>
      <c r="BD12" s="6">
        <v>1.0038800000000001</v>
      </c>
      <c r="BE12" s="6" t="s">
        <v>101</v>
      </c>
      <c r="BF12" s="6">
        <v>0.94362999999999997</v>
      </c>
      <c r="BG12" s="6">
        <v>2.298</v>
      </c>
      <c r="BH12" s="6">
        <v>4.2999999999999997E-2</v>
      </c>
      <c r="BI12" s="6"/>
      <c r="BJ12" s="5">
        <f>AVERAGE(B12, Q12, AF12, AU12)</f>
        <v>3.7938999999999998</v>
      </c>
      <c r="BK12" s="5">
        <f>AVERAGE(C12, R12, AG12, AV12)</f>
        <v>0.94122249999999996</v>
      </c>
      <c r="BL12" s="5">
        <f t="shared" ref="BL10:BL13" si="0">AVERAGE(D12, S12, AH12, AW12)</f>
        <v>3.7454999999999998</v>
      </c>
      <c r="BM12" s="5">
        <f t="shared" ref="BM10:BM13" si="1">AVERAGE(E12, T12, AI12, AX12)</f>
        <v>0.93300500000000008</v>
      </c>
      <c r="BN12" s="5">
        <f t="shared" ref="BN10:BN13" si="2">AVERAGE(U12, AJ12, AY12)</f>
        <v>3.6175000000000002</v>
      </c>
      <c r="BO12" s="5">
        <f t="shared" ref="BO10:BO13" si="3">AVERAGE(V12, AK12, AZ12)</f>
        <v>1.0092033333333335</v>
      </c>
      <c r="BP12" s="5">
        <f t="shared" ref="BP10:BP13" si="4">AVERAGE(H12, W12, AL12, BA12)</f>
        <v>3.7437</v>
      </c>
      <c r="BQ12" s="5">
        <f>AVERAGE(I12, X12, AM12, BB12)</f>
        <v>0.97709000000000001</v>
      </c>
      <c r="BR12" s="5">
        <f>AVERAGE(J12, Y12, AN12, BC12)</f>
        <v>3.7486000000000002</v>
      </c>
      <c r="BS12" s="5">
        <f>AVERAGE(K12, Z12, AO12, BD12)</f>
        <v>0.94981000000000004</v>
      </c>
      <c r="BT12" s="5">
        <f>AVERAGE(L12, AA12, AP12, BE12)</f>
        <v>3.8332999999999999</v>
      </c>
      <c r="BU12" s="5">
        <f>AVERAGE(M12, AB12, AQ12, BF12)</f>
        <v>0.95487999999999995</v>
      </c>
    </row>
    <row r="13" spans="1:73" ht="18" x14ac:dyDescent="0.25">
      <c r="A13" s="3" t="s">
        <v>10</v>
      </c>
      <c r="B13" s="6" t="s">
        <v>48</v>
      </c>
      <c r="C13" s="6">
        <v>0.58455000000000001</v>
      </c>
      <c r="D13" s="6" t="s">
        <v>49</v>
      </c>
      <c r="E13" s="6">
        <v>0.56357999999999997</v>
      </c>
      <c r="F13" s="15" t="s">
        <v>4</v>
      </c>
      <c r="G13" s="15" t="s">
        <v>4</v>
      </c>
      <c r="H13" s="6" t="s">
        <v>50</v>
      </c>
      <c r="I13" s="6">
        <v>0.58635000000000004</v>
      </c>
      <c r="J13" s="6" t="s">
        <v>51</v>
      </c>
      <c r="K13" s="6">
        <v>0.63244999999999996</v>
      </c>
      <c r="L13" s="6" t="s">
        <v>52</v>
      </c>
      <c r="M13" s="6">
        <v>0.60216999999999998</v>
      </c>
      <c r="N13" s="6">
        <v>6.5789999999999997</v>
      </c>
      <c r="O13" s="6" t="s">
        <v>15</v>
      </c>
      <c r="P13" s="6"/>
      <c r="Q13" s="6">
        <v>4.1797000000000004</v>
      </c>
      <c r="R13" s="6">
        <v>0.64720999999999995</v>
      </c>
      <c r="S13" s="6">
        <v>4.1764000000000001</v>
      </c>
      <c r="T13" s="6">
        <v>0.61424000000000001</v>
      </c>
      <c r="U13" s="6">
        <v>4.0185000000000004</v>
      </c>
      <c r="V13" s="6">
        <v>0.66515999999999997</v>
      </c>
      <c r="W13" s="6">
        <v>4.0827999999999998</v>
      </c>
      <c r="X13" s="6">
        <v>0.65952</v>
      </c>
      <c r="Y13" s="6">
        <v>4.0811999999999999</v>
      </c>
      <c r="Z13" s="6">
        <v>0.69157999999999997</v>
      </c>
      <c r="AA13" s="6">
        <v>4.1336000000000004</v>
      </c>
      <c r="AB13" s="6">
        <v>0.66261000000000003</v>
      </c>
      <c r="AC13" s="6">
        <v>2.4780000000000002</v>
      </c>
      <c r="AD13" s="6">
        <v>0.03</v>
      </c>
      <c r="AE13" s="6"/>
      <c r="AF13" s="6" t="s">
        <v>84</v>
      </c>
      <c r="AG13" s="6">
        <v>0.65356000000000003</v>
      </c>
      <c r="AH13" s="6" t="s">
        <v>85</v>
      </c>
      <c r="AI13" s="6">
        <v>0.61556</v>
      </c>
      <c r="AJ13" s="6" t="s">
        <v>86</v>
      </c>
      <c r="AK13" s="6">
        <v>0.73563999999999996</v>
      </c>
      <c r="AL13" s="6" t="s">
        <v>83</v>
      </c>
      <c r="AM13" s="6">
        <v>0.71494999999999997</v>
      </c>
      <c r="AN13" s="6" t="s">
        <v>87</v>
      </c>
      <c r="AO13" s="6">
        <v>0.67330000000000001</v>
      </c>
      <c r="AP13" s="6" t="s">
        <v>88</v>
      </c>
      <c r="AQ13" s="6">
        <v>0.77914000000000005</v>
      </c>
      <c r="AR13" s="6">
        <v>2.86</v>
      </c>
      <c r="AS13" s="6">
        <v>1.4E-2</v>
      </c>
      <c r="AT13" s="6"/>
      <c r="AU13" s="6" t="s">
        <v>110</v>
      </c>
      <c r="AV13" s="6">
        <v>0.71877999999999997</v>
      </c>
      <c r="AW13" s="6" t="s">
        <v>109</v>
      </c>
      <c r="AX13" s="6">
        <v>0.58089999999999997</v>
      </c>
      <c r="AY13" s="6" t="s">
        <v>108</v>
      </c>
      <c r="AZ13" s="6">
        <v>0.78847999999999996</v>
      </c>
      <c r="BA13" s="6" t="s">
        <v>107</v>
      </c>
      <c r="BB13" s="6">
        <v>0.70840000000000003</v>
      </c>
      <c r="BC13" s="6" t="s">
        <v>106</v>
      </c>
      <c r="BD13" s="6">
        <v>0.71584000000000003</v>
      </c>
      <c r="BE13" s="6" t="s">
        <v>111</v>
      </c>
      <c r="BF13" s="6">
        <v>0.64953000000000005</v>
      </c>
      <c r="BG13" s="6">
        <v>4.5869999999999997</v>
      </c>
      <c r="BH13" s="6" t="s">
        <v>15</v>
      </c>
      <c r="BI13" s="6"/>
      <c r="BJ13" s="5">
        <f>AVERAGE(B13, Q13, AF13, AU13)</f>
        <v>4.1797000000000004</v>
      </c>
      <c r="BK13" s="5">
        <f>AVERAGE(C13, R13, AG13, AV13)</f>
        <v>0.65102499999999996</v>
      </c>
      <c r="BL13" s="5">
        <f t="shared" si="0"/>
        <v>4.1764000000000001</v>
      </c>
      <c r="BM13" s="5">
        <f t="shared" si="1"/>
        <v>0.59356999999999993</v>
      </c>
      <c r="BN13" s="5">
        <f t="shared" si="2"/>
        <v>4.0185000000000004</v>
      </c>
      <c r="BO13" s="5">
        <f t="shared" si="3"/>
        <v>0.72975999999999985</v>
      </c>
      <c r="BP13" s="5">
        <f t="shared" si="4"/>
        <v>4.0827999999999998</v>
      </c>
      <c r="BQ13" s="5">
        <f>AVERAGE(I13, X13, AM13, BB13)</f>
        <v>0.66730500000000004</v>
      </c>
      <c r="BR13" s="5">
        <f>AVERAGE(J13, Y13, AN13, BC13)</f>
        <v>4.0811999999999999</v>
      </c>
      <c r="BS13" s="5">
        <f>AVERAGE(K13, Z13, AO13, BD13)</f>
        <v>0.67829249999999996</v>
      </c>
      <c r="BT13" s="5">
        <f>AVERAGE(L13, AA13, AP13, BE13)</f>
        <v>4.1336000000000004</v>
      </c>
      <c r="BU13" s="5">
        <f>AVERAGE(M13, AB13, AQ13, BF13)</f>
        <v>0.67336249999999997</v>
      </c>
    </row>
    <row r="14" spans="1:73" x14ac:dyDescent="0.25">
      <c r="A14" s="3"/>
      <c r="B14" s="6"/>
      <c r="C14" s="6"/>
      <c r="D14" s="6"/>
      <c r="E14" s="6"/>
      <c r="F14" s="15"/>
      <c r="G14" s="1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</row>
    <row r="15" spans="1:73" x14ac:dyDescent="0.25">
      <c r="A15" s="3" t="s">
        <v>128</v>
      </c>
    </row>
  </sheetData>
  <mergeCells count="71">
    <mergeCell ref="BT7:BU7"/>
    <mergeCell ref="BL7:BM7"/>
    <mergeCell ref="BJ7:BK7"/>
    <mergeCell ref="BN7:BO7"/>
    <mergeCell ref="BP7:BQ7"/>
    <mergeCell ref="BR7:BS7"/>
    <mergeCell ref="AU3:BH3"/>
    <mergeCell ref="AF3:AS3"/>
    <mergeCell ref="Q3:AD3"/>
    <mergeCell ref="B3:O3"/>
    <mergeCell ref="B5:C5"/>
    <mergeCell ref="D5:E5"/>
    <mergeCell ref="H5:I5"/>
    <mergeCell ref="J5:K5"/>
    <mergeCell ref="L5:M5"/>
    <mergeCell ref="Q5:R5"/>
    <mergeCell ref="S5:T5"/>
    <mergeCell ref="U5:V5"/>
    <mergeCell ref="W5:X5"/>
    <mergeCell ref="Y5:Z5"/>
    <mergeCell ref="AA5:AB5"/>
    <mergeCell ref="AP5:AQ5"/>
    <mergeCell ref="AN5:AO5"/>
    <mergeCell ref="AL5:AM5"/>
    <mergeCell ref="AJ5:AK5"/>
    <mergeCell ref="AH5:AI5"/>
    <mergeCell ref="AF5:AG5"/>
    <mergeCell ref="AU5:AV5"/>
    <mergeCell ref="AW5:AX5"/>
    <mergeCell ref="AY5:AZ5"/>
    <mergeCell ref="BA5:BB5"/>
    <mergeCell ref="BC5:BD5"/>
    <mergeCell ref="BE5:BF5"/>
    <mergeCell ref="BJ3:BU3"/>
    <mergeCell ref="BJ5:BK5"/>
    <mergeCell ref="BL5:BM5"/>
    <mergeCell ref="BN5:BO5"/>
    <mergeCell ref="BP5:BQ5"/>
    <mergeCell ref="BR5:BS5"/>
    <mergeCell ref="BT5:BU5"/>
    <mergeCell ref="B6:C6"/>
    <mergeCell ref="D6:E6"/>
    <mergeCell ref="H6:I6"/>
    <mergeCell ref="J6:K6"/>
    <mergeCell ref="L6:M6"/>
    <mergeCell ref="Q6:R6"/>
    <mergeCell ref="S6:T6"/>
    <mergeCell ref="U6:V6"/>
    <mergeCell ref="W6:X6"/>
    <mergeCell ref="Y6:Z6"/>
    <mergeCell ref="AA6:AB6"/>
    <mergeCell ref="AF6:AG6"/>
    <mergeCell ref="AH6:AI6"/>
    <mergeCell ref="AJ6:AK6"/>
    <mergeCell ref="AL6:AM6"/>
    <mergeCell ref="BN6:BO6"/>
    <mergeCell ref="BP6:BQ6"/>
    <mergeCell ref="BR6:BS6"/>
    <mergeCell ref="BT6:BU6"/>
    <mergeCell ref="F5:G5"/>
    <mergeCell ref="F6:G6"/>
    <mergeCell ref="BA6:BB6"/>
    <mergeCell ref="BC6:BD6"/>
    <mergeCell ref="BE6:BF6"/>
    <mergeCell ref="BJ6:BK6"/>
    <mergeCell ref="BL6:BM6"/>
    <mergeCell ref="AN6:AO6"/>
    <mergeCell ref="AP6:AQ6"/>
    <mergeCell ref="AU6:AV6"/>
    <mergeCell ref="AW6:AX6"/>
    <mergeCell ref="AY6:AZ6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Statistics by Year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Molly Weeks</dc:creator>
  <cp:keywords/>
  <dc:description/>
  <cp:lastModifiedBy>Molly Weeks, Ph.D.</cp:lastModifiedBy>
  <cp:revision/>
  <dcterms:created xsi:type="dcterms:W3CDTF">2020-12-09T16:21:16Z</dcterms:created>
  <dcterms:modified xsi:type="dcterms:W3CDTF">2025-11-03T20:58:55Z</dcterms:modified>
  <cp:category/>
  <cp:contentStatus/>
</cp:coreProperties>
</file>